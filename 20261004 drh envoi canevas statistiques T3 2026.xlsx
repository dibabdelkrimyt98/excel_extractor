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IR. STRATEGIE\ANNEE 2026\"/>
    </mc:Choice>
  </mc:AlternateContent>
  <xr:revisionPtr revIDLastSave="0" documentId="8_{A494B822-0959-4F10-9925-670FA84F498C}" xr6:coauthVersionLast="36" xr6:coauthVersionMax="36" xr10:uidLastSave="{00000000-0000-0000-0000-000000000000}"/>
  <bookViews>
    <workbookView xWindow="0" yWindow="0" windowWidth="24000" windowHeight="9525" tabRatio="500" xr2:uid="{00000000-000D-0000-FFFF-FFFF00000000}"/>
  </bookViews>
  <sheets>
    <sheet name="DR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6" i="1" l="1"/>
  <c r="D76" i="1"/>
  <c r="C76" i="1"/>
  <c r="B76" i="1"/>
  <c r="E60" i="1"/>
  <c r="D60" i="1"/>
  <c r="C60" i="1"/>
  <c r="B60" i="1"/>
  <c r="E54" i="1"/>
  <c r="D54" i="1"/>
  <c r="C54" i="1"/>
  <c r="B54" i="1"/>
  <c r="E30" i="1"/>
  <c r="D30" i="1"/>
  <c r="C30" i="1"/>
  <c r="B30" i="1"/>
  <c r="E25" i="1"/>
  <c r="D25" i="1"/>
  <c r="C25" i="1"/>
  <c r="B25" i="1"/>
  <c r="E21" i="1"/>
  <c r="D21" i="1"/>
  <c r="C21" i="1"/>
  <c r="B21" i="1"/>
  <c r="E20" i="1"/>
  <c r="D20" i="1"/>
  <c r="C20" i="1"/>
  <c r="B20" i="1"/>
  <c r="E14" i="1"/>
  <c r="D14" i="1"/>
  <c r="C14" i="1"/>
  <c r="B14" i="1"/>
</calcChain>
</file>

<file path=xl/sharedStrings.xml><?xml version="1.0" encoding="utf-8"?>
<sst xmlns="http://schemas.openxmlformats.org/spreadsheetml/2006/main" count="79" uniqueCount="57">
  <si>
    <t>EPIC ALGERIE POSTE</t>
  </si>
  <si>
    <t>DIRECTION DE LA STRATEGIE, DE L'ORGANISATION ET DU CONTROLE DE GESTION</t>
  </si>
  <si>
    <t>Les cellules en jaune sont à renseigner : T3 2026 et prévisions de clôture 2026.</t>
  </si>
  <si>
    <t>Indicateurs</t>
  </si>
  <si>
    <t>Au 30/09/2025</t>
  </si>
  <si>
    <t>Exercice 2025
(au 31/12/2025)</t>
  </si>
  <si>
    <t>Au 30/09/2026</t>
  </si>
  <si>
    <t>Exercice 2026
(prévisions au 31/12/2026)</t>
  </si>
  <si>
    <t>Effectifs</t>
  </si>
  <si>
    <t>Effectif par catégorie</t>
  </si>
  <si>
    <t>Femmes</t>
  </si>
  <si>
    <t>Encadrement</t>
  </si>
  <si>
    <t>Cadre</t>
  </si>
  <si>
    <t>Maîtrise</t>
  </si>
  <si>
    <t>Exécution</t>
  </si>
  <si>
    <t>Total femmes</t>
  </si>
  <si>
    <t>Hommes</t>
  </si>
  <si>
    <t>Total hommes</t>
  </si>
  <si>
    <t>TOTAL EFFECTIF</t>
  </si>
  <si>
    <t>Effectif par type de vacation</t>
  </si>
  <si>
    <t>Temps plein</t>
  </si>
  <si>
    <t>Temps partiel</t>
  </si>
  <si>
    <t>Total</t>
  </si>
  <si>
    <t>Effectif par contrat de travail</t>
  </si>
  <si>
    <t>CDI</t>
  </si>
  <si>
    <t>CDD</t>
  </si>
  <si>
    <t>CTA</t>
  </si>
  <si>
    <t>Répartition par tranche d'âge</t>
  </si>
  <si>
    <t>16-25 ans</t>
  </si>
  <si>
    <t>26-35 ans</t>
  </si>
  <si>
    <t>36-45 ans</t>
  </si>
  <si>
    <t>46-55 ans</t>
  </si>
  <si>
    <t>Plus de 55 ans</t>
  </si>
  <si>
    <t>Âge moyen des effectifs (années)</t>
  </si>
  <si>
    <t>Ancienneté moyenne des effectifs (années)</t>
  </si>
  <si>
    <t>Charges de personnel</t>
  </si>
  <si>
    <t>Montant de la masse salariale (DA)</t>
  </si>
  <si>
    <t>Recrutement</t>
  </si>
  <si>
    <t>Postes recrutés par catégorie socioprofessionnelle</t>
  </si>
  <si>
    <t>Postes recrutés par type de contrat</t>
  </si>
  <si>
    <t>Autres</t>
  </si>
  <si>
    <t>Départs</t>
  </si>
  <si>
    <t>Départs par motif</t>
  </si>
  <si>
    <t>Absence irrégulière</t>
  </si>
  <si>
    <t>Assurance maladie - invalidité</t>
  </si>
  <si>
    <t>Décès</t>
  </si>
  <si>
    <t>Démission</t>
  </si>
  <si>
    <t>Détachement externe sortant</t>
  </si>
  <si>
    <t>Disponibilité pour convenance personnelle</t>
  </si>
  <si>
    <t>Fin de CDD</t>
  </si>
  <si>
    <t>Fin de fonction</t>
  </si>
  <si>
    <t>Licenciement</t>
  </si>
  <si>
    <t>Résiliation de contrat</t>
  </si>
  <si>
    <t>Retraite</t>
  </si>
  <si>
    <t>Service national (incorporation)</t>
  </si>
  <si>
    <t>Suspension sans traitement</t>
  </si>
  <si>
    <t>Statistiques operationnelles arrétées au 30/09/2026 et previsions au 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</si>
</sst>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/>
    <xf numFmtId="0" fontId="2" fillId="0" borderId="1" xfId="0" applyFont="1" applyBorder="1" applyAlignment="1">
      <alignment vertical="center" wrapText="1" indent="1"/>
    </xf>
    <xf numFmtId="0" fontId="3" fillId="0" borderId="1" xfId="0" applyFont="1" applyBorder="1" applyAlignment="1">
      <alignment vertical="center" wrapText="1" indent="3"/>
    </xf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2" fillId="0" borderId="1" xfId="0" applyFont="1" applyBorder="1" applyAlignment="1">
      <alignment vertical="center" wrapText="1" indent="3"/>
    </xf>
    <xf numFmtId="0" fontId="3" fillId="0" borderId="1" xfId="0" applyFont="1" applyBorder="1" applyAlignment="1">
      <alignment vertical="center" wrapText="1" inden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/>
    <xf numFmtId="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6"/>
  <sheetViews>
    <sheetView showGridLines="0" tabSelected="1" zoomScaleNormal="100" workbookViewId="0">
      <selection activeCell="B4" sqref="B4"/>
    </sheetView>
  </sheetViews>
  <sheetFormatPr baseColWidth="10" defaultColWidth="8.5703125" defaultRowHeight="15" x14ac:dyDescent="0.25"/>
  <cols>
    <col min="1" max="1" width="46" customWidth="1"/>
    <col min="2" max="5" width="17" customWidth="1"/>
  </cols>
  <sheetData>
    <row r="1" spans="1:5" ht="15" customHeight="1" x14ac:dyDescent="0.25">
      <c r="A1" s="1" t="s">
        <v>0</v>
      </c>
    </row>
    <row r="2" spans="1:5" ht="15" customHeight="1" x14ac:dyDescent="0.25">
      <c r="A2" s="2" t="s">
        <v>1</v>
      </c>
    </row>
    <row r="3" spans="1:5" ht="15" customHeight="1" x14ac:dyDescent="0.25">
      <c r="A3" s="3" t="s">
        <v>56</v>
      </c>
    </row>
    <row r="4" spans="1:5" ht="15" customHeight="1" x14ac:dyDescent="0.25">
      <c r="A4" s="4" t="s">
        <v>2</v>
      </c>
    </row>
    <row r="6" spans="1:5" ht="42" customHeigh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spans="1:5" ht="15" customHeight="1" x14ac:dyDescent="0.25">
      <c r="A7" s="6" t="s">
        <v>8</v>
      </c>
      <c r="B7" s="7"/>
      <c r="C7" s="7"/>
      <c r="D7" s="7"/>
      <c r="E7" s="7"/>
    </row>
    <row r="8" spans="1:5" ht="15" customHeight="1" x14ac:dyDescent="0.25">
      <c r="A8" s="8" t="s">
        <v>9</v>
      </c>
      <c r="B8" s="9"/>
      <c r="C8" s="9"/>
      <c r="D8" s="9"/>
      <c r="E8" s="9"/>
    </row>
    <row r="9" spans="1:5" ht="15" customHeight="1" x14ac:dyDescent="0.25">
      <c r="A9" s="10" t="s">
        <v>10</v>
      </c>
      <c r="B9" s="9"/>
      <c r="C9" s="9"/>
      <c r="D9" s="9"/>
      <c r="E9" s="9"/>
    </row>
    <row r="10" spans="1:5" ht="15" customHeight="1" x14ac:dyDescent="0.25">
      <c r="A10" s="11" t="s">
        <v>11</v>
      </c>
      <c r="B10" s="12">
        <v>128</v>
      </c>
      <c r="C10" s="12">
        <v>130</v>
      </c>
      <c r="D10" s="13"/>
      <c r="E10" s="13"/>
    </row>
    <row r="11" spans="1:5" ht="15" customHeight="1" x14ac:dyDescent="0.25">
      <c r="A11" s="11" t="s">
        <v>12</v>
      </c>
      <c r="B11" s="12">
        <v>1769</v>
      </c>
      <c r="C11" s="12">
        <v>1778</v>
      </c>
      <c r="D11" s="13"/>
      <c r="E11" s="13"/>
    </row>
    <row r="12" spans="1:5" ht="15" customHeight="1" x14ac:dyDescent="0.25">
      <c r="A12" s="11" t="s">
        <v>13</v>
      </c>
      <c r="B12" s="12">
        <v>6675</v>
      </c>
      <c r="C12" s="12">
        <v>6701</v>
      </c>
      <c r="D12" s="13"/>
      <c r="E12" s="13"/>
    </row>
    <row r="13" spans="1:5" ht="15" customHeight="1" x14ac:dyDescent="0.25">
      <c r="A13" s="11" t="s">
        <v>14</v>
      </c>
      <c r="B13" s="12">
        <v>792</v>
      </c>
      <c r="C13" s="12">
        <v>801</v>
      </c>
      <c r="D13" s="13"/>
      <c r="E13" s="13"/>
    </row>
    <row r="14" spans="1:5" ht="15" customHeight="1" x14ac:dyDescent="0.25">
      <c r="A14" s="14" t="s">
        <v>15</v>
      </c>
      <c r="B14" s="9">
        <f>IF(COUNT(B10,B11,B12,B13)=0,"",SUM(B10,B11,B12,B13))</f>
        <v>9364</v>
      </c>
      <c r="C14" s="9">
        <f>IF(COUNT(C10,C11,C12,C13)=0,"",SUM(C10,C11,C12,C13))</f>
        <v>9410</v>
      </c>
      <c r="D14" s="9" t="str">
        <f>IF(COUNT(D10,D11,D12,D13)=0,"",SUM(D10,D11,D12,D13))</f>
        <v/>
      </c>
      <c r="E14" s="9" t="str">
        <f>IF(COUNT(E10,E11,E12,E13)=0,"",SUM(E10,E11,E12,E13))</f>
        <v/>
      </c>
    </row>
    <row r="15" spans="1:5" ht="15" customHeight="1" x14ac:dyDescent="0.25">
      <c r="A15" s="10" t="s">
        <v>16</v>
      </c>
      <c r="B15" s="9"/>
      <c r="C15" s="9"/>
      <c r="D15" s="9"/>
      <c r="E15" s="9"/>
    </row>
    <row r="16" spans="1:5" ht="15" customHeight="1" x14ac:dyDescent="0.25">
      <c r="A16" s="11" t="s">
        <v>11</v>
      </c>
      <c r="B16" s="12">
        <v>230</v>
      </c>
      <c r="C16" s="12">
        <v>239</v>
      </c>
      <c r="D16" s="13"/>
      <c r="E16" s="13"/>
    </row>
    <row r="17" spans="1:5" ht="15" customHeight="1" x14ac:dyDescent="0.25">
      <c r="A17" s="11" t="s">
        <v>12</v>
      </c>
      <c r="B17" s="12">
        <v>5633</v>
      </c>
      <c r="C17" s="12">
        <v>5700</v>
      </c>
      <c r="D17" s="13"/>
      <c r="E17" s="13"/>
    </row>
    <row r="18" spans="1:5" ht="15" customHeight="1" x14ac:dyDescent="0.25">
      <c r="A18" s="11" t="s">
        <v>13</v>
      </c>
      <c r="B18" s="12">
        <v>6889</v>
      </c>
      <c r="C18" s="12">
        <v>6881</v>
      </c>
      <c r="D18" s="13"/>
      <c r="E18" s="13"/>
    </row>
    <row r="19" spans="1:5" ht="15" customHeight="1" x14ac:dyDescent="0.25">
      <c r="A19" s="11" t="s">
        <v>14</v>
      </c>
      <c r="B19" s="12">
        <v>5541</v>
      </c>
      <c r="C19" s="12">
        <v>5644</v>
      </c>
      <c r="D19" s="13"/>
      <c r="E19" s="13"/>
    </row>
    <row r="20" spans="1:5" ht="15" customHeight="1" x14ac:dyDescent="0.25">
      <c r="A20" s="14" t="s">
        <v>17</v>
      </c>
      <c r="B20" s="9">
        <f>IF(COUNT(B16,B17,B18,B19)=0,"",SUM(B16,B17,B18,B19))</f>
        <v>18293</v>
      </c>
      <c r="C20" s="9">
        <f>IF(COUNT(C16,C17,C18,C19)=0,"",SUM(C16,C17,C18,C19))</f>
        <v>18464</v>
      </c>
      <c r="D20" s="9" t="str">
        <f>IF(COUNT(D16,D17,D18,D19)=0,"",SUM(D16,D17,D18,D19))</f>
        <v/>
      </c>
      <c r="E20" s="9" t="str">
        <f>IF(COUNT(E16,E17,E18,E19)=0,"",SUM(E16,E17,E18,E19))</f>
        <v/>
      </c>
    </row>
    <row r="21" spans="1:5" ht="15" customHeight="1" x14ac:dyDescent="0.25">
      <c r="A21" s="8" t="s">
        <v>18</v>
      </c>
      <c r="B21" s="9">
        <f>IF(COUNT(B14,B20)=0,"",SUM(B14,B20))</f>
        <v>27657</v>
      </c>
      <c r="C21" s="9">
        <f>IF(COUNT(C14,C20)=0,"",SUM(C14,C20))</f>
        <v>27874</v>
      </c>
      <c r="D21" s="9" t="str">
        <f>IF(COUNT(D14,D20)=0,"",SUM(D14,D20))</f>
        <v/>
      </c>
      <c r="E21" s="9" t="str">
        <f>IF(COUNT(E14,E20)=0,"",SUM(E14,E20))</f>
        <v/>
      </c>
    </row>
    <row r="22" spans="1:5" ht="15" customHeight="1" x14ac:dyDescent="0.25">
      <c r="A22" s="8" t="s">
        <v>19</v>
      </c>
      <c r="B22" s="9"/>
      <c r="C22" s="9"/>
      <c r="D22" s="9"/>
      <c r="E22" s="9"/>
    </row>
    <row r="23" spans="1:5" ht="15" customHeight="1" x14ac:dyDescent="0.25">
      <c r="A23" s="15" t="s">
        <v>20</v>
      </c>
      <c r="B23" s="12">
        <v>26939</v>
      </c>
      <c r="C23" s="12">
        <v>27149</v>
      </c>
      <c r="D23" s="13"/>
      <c r="E23" s="13"/>
    </row>
    <row r="24" spans="1:5" ht="15" customHeight="1" x14ac:dyDescent="0.25">
      <c r="A24" s="15" t="s">
        <v>21</v>
      </c>
      <c r="B24" s="12">
        <v>718</v>
      </c>
      <c r="C24" s="12">
        <v>725</v>
      </c>
      <c r="D24" s="13"/>
      <c r="E24" s="13"/>
    </row>
    <row r="25" spans="1:5" ht="15" customHeight="1" x14ac:dyDescent="0.25">
      <c r="A25" s="10" t="s">
        <v>22</v>
      </c>
      <c r="B25" s="9">
        <f>IF(COUNT(B23,B24)=0,"",SUM(B23,B24))</f>
        <v>27657</v>
      </c>
      <c r="C25" s="9">
        <f>IF(COUNT(C23,C24)=0,"",SUM(C23,C24))</f>
        <v>27874</v>
      </c>
      <c r="D25" s="9" t="str">
        <f>IF(COUNT(D23,D24)=0,"",SUM(D23,D24))</f>
        <v/>
      </c>
      <c r="E25" s="9" t="str">
        <f>IF(COUNT(E23,E24)=0,"",SUM(E23,E24))</f>
        <v/>
      </c>
    </row>
    <row r="26" spans="1:5" ht="15" customHeight="1" x14ac:dyDescent="0.25">
      <c r="A26" s="8" t="s">
        <v>23</v>
      </c>
      <c r="B26" s="9"/>
      <c r="C26" s="9"/>
      <c r="D26" s="9"/>
      <c r="E26" s="9"/>
    </row>
    <row r="27" spans="1:5" ht="15" customHeight="1" x14ac:dyDescent="0.25">
      <c r="A27" s="15" t="s">
        <v>24</v>
      </c>
      <c r="B27" s="12">
        <v>27459</v>
      </c>
      <c r="C27" s="12">
        <v>27533</v>
      </c>
      <c r="D27" s="13"/>
      <c r="E27" s="13"/>
    </row>
    <row r="28" spans="1:5" ht="15" customHeight="1" x14ac:dyDescent="0.25">
      <c r="A28" s="15" t="s">
        <v>25</v>
      </c>
      <c r="B28" s="12">
        <v>197</v>
      </c>
      <c r="C28" s="12">
        <v>340</v>
      </c>
      <c r="D28" s="13"/>
      <c r="E28" s="13"/>
    </row>
    <row r="29" spans="1:5" ht="15" customHeight="1" x14ac:dyDescent="0.25">
      <c r="A29" s="15" t="s">
        <v>26</v>
      </c>
      <c r="B29" s="12">
        <v>1</v>
      </c>
      <c r="C29" s="12">
        <v>1</v>
      </c>
      <c r="D29" s="13"/>
      <c r="E29" s="13"/>
    </row>
    <row r="30" spans="1:5" ht="15" customHeight="1" x14ac:dyDescent="0.25">
      <c r="A30" s="10" t="s">
        <v>22</v>
      </c>
      <c r="B30" s="9">
        <f>IF(COUNT(B27,B28,B29)=0,"",SUM(B27,B28,B29))</f>
        <v>27657</v>
      </c>
      <c r="C30" s="9">
        <f>IF(COUNT(C27,C28,C29)=0,"",SUM(C27,C28,C29))</f>
        <v>27874</v>
      </c>
      <c r="D30" s="9" t="str">
        <f>IF(COUNT(D27,D28,D29)=0,"",SUM(D27,D28,D29))</f>
        <v/>
      </c>
      <c r="E30" s="9" t="str">
        <f>IF(COUNT(E27,E28,E29)=0,"",SUM(E27,E28,E29))</f>
        <v/>
      </c>
    </row>
    <row r="31" spans="1:5" ht="15" customHeight="1" x14ac:dyDescent="0.25">
      <c r="A31" s="8" t="s">
        <v>27</v>
      </c>
      <c r="B31" s="9"/>
      <c r="C31" s="9"/>
      <c r="D31" s="9"/>
      <c r="E31" s="9"/>
    </row>
    <row r="32" spans="1:5" ht="15" customHeight="1" x14ac:dyDescent="0.25">
      <c r="A32" s="10" t="s">
        <v>10</v>
      </c>
      <c r="B32" s="9"/>
      <c r="C32" s="9"/>
      <c r="D32" s="9"/>
      <c r="E32" s="9"/>
    </row>
    <row r="33" spans="1:5" ht="15" customHeight="1" x14ac:dyDescent="0.25">
      <c r="A33" s="11" t="s">
        <v>28</v>
      </c>
      <c r="B33" s="12">
        <v>52</v>
      </c>
      <c r="C33" s="12">
        <v>34</v>
      </c>
      <c r="D33" s="13"/>
      <c r="E33" s="13"/>
    </row>
    <row r="34" spans="1:5" ht="15" customHeight="1" x14ac:dyDescent="0.25">
      <c r="A34" s="11" t="s">
        <v>29</v>
      </c>
      <c r="B34" s="12">
        <v>1817</v>
      </c>
      <c r="C34" s="12">
        <v>1378</v>
      </c>
      <c r="D34" s="13"/>
      <c r="E34" s="13"/>
    </row>
    <row r="35" spans="1:5" ht="15" customHeight="1" x14ac:dyDescent="0.25">
      <c r="A35" s="11" t="s">
        <v>30</v>
      </c>
      <c r="B35" s="12">
        <v>3103</v>
      </c>
      <c r="C35" s="12">
        <v>3191</v>
      </c>
      <c r="D35" s="13"/>
      <c r="E35" s="13"/>
    </row>
    <row r="36" spans="1:5" ht="15" customHeight="1" x14ac:dyDescent="0.25">
      <c r="A36" s="11" t="s">
        <v>31</v>
      </c>
      <c r="B36" s="12">
        <v>3151</v>
      </c>
      <c r="C36" s="12">
        <v>3497</v>
      </c>
      <c r="D36" s="13"/>
      <c r="E36" s="13"/>
    </row>
    <row r="37" spans="1:5" ht="15" customHeight="1" x14ac:dyDescent="0.25">
      <c r="A37" s="11" t="s">
        <v>32</v>
      </c>
      <c r="B37" s="12">
        <v>1241</v>
      </c>
      <c r="C37" s="12">
        <v>1310</v>
      </c>
      <c r="D37" s="13"/>
      <c r="E37" s="13"/>
    </row>
    <row r="38" spans="1:5" ht="15" customHeight="1" x14ac:dyDescent="0.25">
      <c r="A38" s="10" t="s">
        <v>16</v>
      </c>
      <c r="B38" s="9"/>
      <c r="C38" s="9"/>
      <c r="D38" s="9"/>
      <c r="E38" s="9"/>
    </row>
    <row r="39" spans="1:5" ht="15" customHeight="1" x14ac:dyDescent="0.25">
      <c r="A39" s="11" t="s">
        <v>28</v>
      </c>
      <c r="B39" s="12">
        <v>112</v>
      </c>
      <c r="C39" s="12">
        <v>91</v>
      </c>
      <c r="D39" s="13"/>
      <c r="E39" s="13"/>
    </row>
    <row r="40" spans="1:5" ht="15" customHeight="1" x14ac:dyDescent="0.25">
      <c r="A40" s="11" t="s">
        <v>29</v>
      </c>
      <c r="B40" s="12">
        <v>3539</v>
      </c>
      <c r="C40" s="12">
        <v>2789</v>
      </c>
      <c r="D40" s="13"/>
      <c r="E40" s="13"/>
    </row>
    <row r="41" spans="1:5" ht="15" customHeight="1" x14ac:dyDescent="0.25">
      <c r="A41" s="11" t="s">
        <v>30</v>
      </c>
      <c r="B41" s="12">
        <v>5653</v>
      </c>
      <c r="C41" s="12">
        <v>6054</v>
      </c>
      <c r="D41" s="13"/>
      <c r="E41" s="13"/>
    </row>
    <row r="42" spans="1:5" ht="15" customHeight="1" x14ac:dyDescent="0.25">
      <c r="A42" s="11" t="s">
        <v>31</v>
      </c>
      <c r="B42" s="12">
        <v>4472</v>
      </c>
      <c r="C42" s="12">
        <v>4835</v>
      </c>
      <c r="D42" s="13"/>
      <c r="E42" s="13"/>
    </row>
    <row r="43" spans="1:5" ht="15" customHeight="1" x14ac:dyDescent="0.25">
      <c r="A43" s="11" t="s">
        <v>32</v>
      </c>
      <c r="B43" s="12">
        <v>4517</v>
      </c>
      <c r="C43" s="12">
        <v>4695</v>
      </c>
      <c r="D43" s="13"/>
      <c r="E43" s="13"/>
    </row>
    <row r="44" spans="1:5" ht="15" customHeight="1" x14ac:dyDescent="0.25">
      <c r="A44" s="16" t="s">
        <v>33</v>
      </c>
      <c r="B44" s="17">
        <v>45.4</v>
      </c>
      <c r="C44" s="17">
        <v>45.64</v>
      </c>
      <c r="D44" s="18"/>
      <c r="E44" s="18"/>
    </row>
    <row r="45" spans="1:5" ht="15" customHeight="1" x14ac:dyDescent="0.25">
      <c r="A45" s="16" t="s">
        <v>34</v>
      </c>
      <c r="B45" s="17">
        <v>17.09</v>
      </c>
      <c r="C45" s="17">
        <v>17.350000000000001</v>
      </c>
      <c r="D45" s="18"/>
      <c r="E45" s="18"/>
    </row>
    <row r="46" spans="1:5" ht="15" customHeight="1" x14ac:dyDescent="0.25">
      <c r="A46" s="6" t="s">
        <v>35</v>
      </c>
      <c r="B46" s="7"/>
      <c r="C46" s="7"/>
      <c r="D46" s="7"/>
      <c r="E46" s="7"/>
    </row>
    <row r="47" spans="1:5" ht="15" customHeight="1" x14ac:dyDescent="0.25">
      <c r="A47" s="16" t="s">
        <v>36</v>
      </c>
      <c r="B47" s="12">
        <v>25154319475.82</v>
      </c>
      <c r="C47" s="12">
        <v>40864802332</v>
      </c>
      <c r="D47" s="13"/>
      <c r="E47" s="13"/>
    </row>
    <row r="48" spans="1:5" ht="15" customHeight="1" x14ac:dyDescent="0.25">
      <c r="A48" s="6" t="s">
        <v>37</v>
      </c>
      <c r="B48" s="7"/>
      <c r="C48" s="7"/>
      <c r="D48" s="7"/>
      <c r="E48" s="7"/>
    </row>
    <row r="49" spans="1:5" ht="15" customHeight="1" x14ac:dyDescent="0.25">
      <c r="A49" s="8" t="s">
        <v>38</v>
      </c>
      <c r="B49" s="9"/>
      <c r="C49" s="9"/>
      <c r="D49" s="9"/>
      <c r="E49" s="9"/>
    </row>
    <row r="50" spans="1:5" ht="15" customHeight="1" x14ac:dyDescent="0.25">
      <c r="A50" s="15" t="s">
        <v>11</v>
      </c>
      <c r="B50" s="12">
        <v>7</v>
      </c>
      <c r="C50" s="13"/>
      <c r="D50" s="13"/>
      <c r="E50" s="13"/>
    </row>
    <row r="51" spans="1:5" ht="15" customHeight="1" x14ac:dyDescent="0.25">
      <c r="A51" s="15" t="s">
        <v>12</v>
      </c>
      <c r="B51" s="12">
        <v>45</v>
      </c>
      <c r="C51" s="12">
        <v>64</v>
      </c>
      <c r="D51" s="13"/>
      <c r="E51" s="13"/>
    </row>
    <row r="52" spans="1:5" ht="15" customHeight="1" x14ac:dyDescent="0.25">
      <c r="A52" s="15" t="s">
        <v>13</v>
      </c>
      <c r="B52" s="12">
        <v>105</v>
      </c>
      <c r="C52" s="12">
        <v>130</v>
      </c>
      <c r="D52" s="13"/>
      <c r="E52" s="13"/>
    </row>
    <row r="53" spans="1:5" ht="15" customHeight="1" x14ac:dyDescent="0.25">
      <c r="A53" s="15" t="s">
        <v>14</v>
      </c>
      <c r="B53" s="12">
        <v>200</v>
      </c>
      <c r="C53" s="12">
        <v>321</v>
      </c>
      <c r="D53" s="13"/>
      <c r="E53" s="13"/>
    </row>
    <row r="54" spans="1:5" ht="15" customHeight="1" x14ac:dyDescent="0.25">
      <c r="A54" s="10" t="s">
        <v>22</v>
      </c>
      <c r="B54" s="9">
        <f>IF(COUNT(B50,B51,B52,B53)=0,"",SUM(B50,B51,B52,B53))</f>
        <v>357</v>
      </c>
      <c r="C54" s="9">
        <f>IF(COUNT(C50,C51,C52,C53)=0,"",SUM(C50,C51,C52,C53))</f>
        <v>515</v>
      </c>
      <c r="D54" s="9" t="str">
        <f>IF(COUNT(D50,D51,D52,D53)=0,"",SUM(D50,D51,D52,D53))</f>
        <v/>
      </c>
      <c r="E54" s="9" t="str">
        <f>IF(COUNT(E50,E51,E52,E53)=0,"",SUM(E50,E51,E52,E53))</f>
        <v/>
      </c>
    </row>
    <row r="55" spans="1:5" ht="15" customHeight="1" x14ac:dyDescent="0.25">
      <c r="A55" s="8" t="s">
        <v>39</v>
      </c>
      <c r="B55" s="9"/>
      <c r="C55" s="9"/>
      <c r="D55" s="9"/>
      <c r="E55" s="9"/>
    </row>
    <row r="56" spans="1:5" ht="15" customHeight="1" x14ac:dyDescent="0.25">
      <c r="A56" s="15" t="s">
        <v>24</v>
      </c>
      <c r="B56" s="12">
        <v>168</v>
      </c>
      <c r="C56" s="12">
        <v>182</v>
      </c>
      <c r="D56" s="13"/>
      <c r="E56" s="13"/>
    </row>
    <row r="57" spans="1:5" ht="15" customHeight="1" x14ac:dyDescent="0.25">
      <c r="A57" s="15" t="s">
        <v>25</v>
      </c>
      <c r="B57" s="12">
        <v>189</v>
      </c>
      <c r="C57" s="12">
        <v>333</v>
      </c>
      <c r="D57" s="13"/>
      <c r="E57" s="13"/>
    </row>
    <row r="58" spans="1:5" ht="15" customHeight="1" x14ac:dyDescent="0.25">
      <c r="A58" s="15" t="s">
        <v>26</v>
      </c>
      <c r="B58" s="12">
        <v>0</v>
      </c>
      <c r="C58" s="12">
        <v>0</v>
      </c>
      <c r="D58" s="13"/>
      <c r="E58" s="13"/>
    </row>
    <row r="59" spans="1:5" ht="15" customHeight="1" x14ac:dyDescent="0.25">
      <c r="A59" s="15" t="s">
        <v>40</v>
      </c>
      <c r="B59" s="12">
        <v>0</v>
      </c>
      <c r="C59" s="12">
        <v>0</v>
      </c>
      <c r="D59" s="13"/>
      <c r="E59" s="13"/>
    </row>
    <row r="60" spans="1:5" ht="15" customHeight="1" x14ac:dyDescent="0.25">
      <c r="A60" s="10" t="s">
        <v>22</v>
      </c>
      <c r="B60" s="9">
        <f>IF(COUNT(B56,B57,B58,B59)=0,"",SUM(B56,B57,B58,B59))</f>
        <v>357</v>
      </c>
      <c r="C60" s="9">
        <f>IF(COUNT(C56,C57,C58,C59)=0,"",SUM(C56,C57,C58,C59))</f>
        <v>515</v>
      </c>
      <c r="D60" s="9" t="str">
        <f>IF(COUNT(D56,D57,D58,D59)=0,"",SUM(D56,D57,D58,D59))</f>
        <v/>
      </c>
      <c r="E60" s="9" t="str">
        <f>IF(COUNT(E56,E57,E58,E59)=0,"",SUM(E56,E57,E58,E59))</f>
        <v/>
      </c>
    </row>
    <row r="61" spans="1:5" ht="15" customHeight="1" x14ac:dyDescent="0.25">
      <c r="A61" s="6" t="s">
        <v>41</v>
      </c>
      <c r="B61" s="7"/>
      <c r="C61" s="7"/>
      <c r="D61" s="7"/>
      <c r="E61" s="7"/>
    </row>
    <row r="62" spans="1:5" ht="15" customHeight="1" x14ac:dyDescent="0.25">
      <c r="A62" s="8" t="s">
        <v>42</v>
      </c>
      <c r="B62" s="9"/>
      <c r="C62" s="9"/>
      <c r="D62" s="9"/>
      <c r="E62" s="9"/>
    </row>
    <row r="63" spans="1:5" ht="15" customHeight="1" x14ac:dyDescent="0.25">
      <c r="A63" s="15" t="s">
        <v>43</v>
      </c>
      <c r="B63" s="12">
        <v>27</v>
      </c>
      <c r="C63" s="12">
        <v>30</v>
      </c>
      <c r="D63" s="13"/>
      <c r="E63" s="13"/>
    </row>
    <row r="64" spans="1:5" ht="15" customHeight="1" x14ac:dyDescent="0.25">
      <c r="A64" s="15" t="s">
        <v>44</v>
      </c>
      <c r="B64" s="12">
        <v>13</v>
      </c>
      <c r="C64" s="12">
        <v>19</v>
      </c>
      <c r="D64" s="13"/>
      <c r="E64" s="13"/>
    </row>
    <row r="65" spans="1:5" ht="15" customHeight="1" x14ac:dyDescent="0.25">
      <c r="A65" s="15" t="s">
        <v>45</v>
      </c>
      <c r="B65" s="12">
        <v>42</v>
      </c>
      <c r="C65" s="12">
        <v>54</v>
      </c>
      <c r="D65" s="13"/>
      <c r="E65" s="13"/>
    </row>
    <row r="66" spans="1:5" ht="15" customHeight="1" x14ac:dyDescent="0.25">
      <c r="A66" s="15" t="s">
        <v>46</v>
      </c>
      <c r="B66" s="12">
        <v>49</v>
      </c>
      <c r="C66" s="12">
        <v>70</v>
      </c>
      <c r="D66" s="13"/>
      <c r="E66" s="13"/>
    </row>
    <row r="67" spans="1:5" ht="15" customHeight="1" x14ac:dyDescent="0.25">
      <c r="A67" s="15" t="s">
        <v>47</v>
      </c>
      <c r="B67" s="12">
        <v>7</v>
      </c>
      <c r="C67" s="12">
        <v>7</v>
      </c>
      <c r="D67" s="13"/>
      <c r="E67" s="13"/>
    </row>
    <row r="68" spans="1:5" ht="15" customHeight="1" x14ac:dyDescent="0.25">
      <c r="A68" s="15" t="s">
        <v>48</v>
      </c>
      <c r="B68" s="12">
        <v>104</v>
      </c>
      <c r="C68" s="12">
        <v>118</v>
      </c>
      <c r="D68" s="13"/>
      <c r="E68" s="13"/>
    </row>
    <row r="69" spans="1:5" ht="15" customHeight="1" x14ac:dyDescent="0.25">
      <c r="A69" s="15" t="s">
        <v>49</v>
      </c>
      <c r="B69" s="12">
        <v>43</v>
      </c>
      <c r="C69" s="12">
        <v>270</v>
      </c>
      <c r="D69" s="13"/>
      <c r="E69" s="13"/>
    </row>
    <row r="70" spans="1:5" ht="15" customHeight="1" x14ac:dyDescent="0.25">
      <c r="A70" s="15" t="s">
        <v>50</v>
      </c>
      <c r="B70" s="12">
        <v>6</v>
      </c>
      <c r="C70" s="12">
        <v>6</v>
      </c>
      <c r="D70" s="13"/>
      <c r="E70" s="13"/>
    </row>
    <row r="71" spans="1:5" ht="15" customHeight="1" x14ac:dyDescent="0.25">
      <c r="A71" s="15" t="s">
        <v>51</v>
      </c>
      <c r="B71" s="12">
        <v>37</v>
      </c>
      <c r="C71" s="12">
        <v>58</v>
      </c>
      <c r="D71" s="13"/>
      <c r="E71" s="13"/>
    </row>
    <row r="72" spans="1:5" ht="15" customHeight="1" x14ac:dyDescent="0.25">
      <c r="A72" s="15" t="s">
        <v>52</v>
      </c>
      <c r="B72" s="12">
        <v>4</v>
      </c>
      <c r="C72" s="12">
        <v>7</v>
      </c>
      <c r="D72" s="13"/>
      <c r="E72" s="13"/>
    </row>
    <row r="73" spans="1:5" ht="15" customHeight="1" x14ac:dyDescent="0.25">
      <c r="A73" s="15" t="s">
        <v>53</v>
      </c>
      <c r="B73" s="12">
        <v>373</v>
      </c>
      <c r="C73" s="12">
        <v>480</v>
      </c>
      <c r="D73" s="13"/>
      <c r="E73" s="13"/>
    </row>
    <row r="74" spans="1:5" ht="15" customHeight="1" x14ac:dyDescent="0.25">
      <c r="A74" s="15" t="s">
        <v>54</v>
      </c>
      <c r="B74" s="12">
        <v>1</v>
      </c>
      <c r="C74" s="12">
        <v>1</v>
      </c>
      <c r="D74" s="13"/>
      <c r="E74" s="13"/>
    </row>
    <row r="75" spans="1:5" ht="15" customHeight="1" x14ac:dyDescent="0.25">
      <c r="A75" s="15" t="s">
        <v>55</v>
      </c>
      <c r="B75" s="12">
        <v>83</v>
      </c>
      <c r="C75" s="12">
        <v>118</v>
      </c>
      <c r="D75" s="13"/>
      <c r="E75" s="13"/>
    </row>
    <row r="76" spans="1:5" ht="15" customHeight="1" x14ac:dyDescent="0.25">
      <c r="A76" s="10" t="s">
        <v>22</v>
      </c>
      <c r="B76" s="9">
        <f>IF(COUNT(B63,B64,B65,B66,B67,B68,B69,B70,B71,B72,B73,B74,B75)=0,"",SUM(B63,B64,B65,B66,B67,B68,B69,B70,B71,B72,B73,B74,B75))</f>
        <v>789</v>
      </c>
      <c r="C76" s="9">
        <f>IF(COUNT(C63,C64,C65,C66,C67,C68,C69,C70,C71,C72,C73,C74,C75)=0,"",SUM(C63,C64,C65,C66,C67,C68,C69,C70,C71,C72,C73,C74,C75))</f>
        <v>1238</v>
      </c>
      <c r="D76" s="9" t="str">
        <f>IF(COUNT(D63,D64,D65,D66,D67,D68,D69,D70,D71,D72,D73,D74,D75)=0,"",SUM(D63,D64,D65,D66,D67,D68,D69,D70,D71,D72,D73,D74,D75))</f>
        <v/>
      </c>
      <c r="E76" s="9" t="str">
        <f>IF(COUNT(E63,E64,E65,E66,E67,E68,E69,E70,E71,E72,E73,E74,E75)=0,"",SUM(E63,E64,E65,E66,E67,E68,E69,E70,E71,E72,E73,E74,E75))</f>
        <v/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MESSAOUDI  SAMIRA</dc:creator>
  <dc:description/>
  <cp:lastModifiedBy>MESSAOUDI  SAMIRA </cp:lastModifiedBy>
  <cp:revision>0</cp:revision>
  <dcterms:created xsi:type="dcterms:W3CDTF">2026-10-04T13:58:15Z</dcterms:created>
  <dcterms:modified xsi:type="dcterms:W3CDTF">2026-10-15T07:23:23Z</dcterms:modified>
  <dc:language>en-US</dc:language>
</cp:coreProperties>
</file>